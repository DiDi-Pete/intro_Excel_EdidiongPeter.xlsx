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pbee\Downloads\"/>
    </mc:Choice>
  </mc:AlternateContent>
  <bookViews>
    <workbookView xWindow="0" yWindow="0" windowWidth="20325" windowHeight="9615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52511"/>
  <extLs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5" i="1" l="1"/>
  <c r="E76" i="1"/>
  <c r="E73" i="1"/>
  <c r="E72" i="1"/>
  <c r="E74" i="1"/>
  <c r="F2" i="1"/>
  <c r="F76" i="1" l="1"/>
  <c r="F72" i="1"/>
  <c r="F73" i="1"/>
  <c r="F74" i="1"/>
  <c r="F75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<sst xmlns="http://schemas.openxmlformats.org/spreadsheetml/2006/main" count="82" uniqueCount="81">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</sst>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 indent="1"/>
    </xf>
    <xf numFmtId="0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400" b="0" i="0" u="none" strike="noStrike" kern="1200" baseline="0">
              <a:solidFill>
                <a:srgbClr val="75757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22.5</c:v>
                </c:pt>
                <c:pt idx="13">
                  <c:v>12</c:v>
                </c:pt>
                <c:pt idx="14">
                  <c:v>19</c:v>
                </c:pt>
                <c:pt idx="15">
                  <c:v>15.65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/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234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/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3978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2902.5</c:v>
                </c:pt>
                <c:pt idx="13">
                  <c:v>888</c:v>
                </c:pt>
                <c:pt idx="14">
                  <c:v>2109</c:v>
                </c:pt>
                <c:pt idx="15">
                  <c:v>2065.8000000000002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/>
        </c:ser>
        <c:ser>
          <c:idx val="3"/>
          <c:order val="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1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278.46000000000004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203.17500000000001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144.60600000000002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953836176"/>
        <c:axId val="-1953807888"/>
      </c:barChart>
      <c:catAx>
        <c:axId val="-195383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3807888"/>
        <c:crosses val="autoZero"/>
        <c:auto val="1"/>
        <c:lblAlgn val="ctr"/>
        <c:lblOffset val="100"/>
        <c:noMultiLvlLbl val="1"/>
      </c:catAx>
      <c:valAx>
        <c:axId val="-195380788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5383617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514350</xdr:colOff>
      <xdr:row>7</xdr:row>
      <xdr:rowOff>133350</xdr:rowOff>
    </xdr:from>
    <xdr:ext cx="4219575" cy="2314575"/>
    <xdr:graphicFrame macro="">
      <xdr:nvGraphicFramePr>
        <xdr:cNvPr id="181830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61" workbookViewId="0">
      <selection activeCell="K5" sqref="K5"/>
    </sheetView>
  </sheetViews>
  <sheetFormatPr defaultColWidth="14.42578125" defaultRowHeight="15" customHeight="1" x14ac:dyDescent="0.25"/>
  <cols>
    <col min="1" max="1" width="13.28515625" style="9" bestFit="1" customWidth="1"/>
    <col min="2" max="2" width="9.5703125" style="9" bestFit="1" customWidth="1"/>
    <col min="3" max="3" width="21.7109375" style="9" bestFit="1" customWidth="1"/>
    <col min="4" max="4" width="15.28515625" style="9" bestFit="1" customWidth="1"/>
    <col min="5" max="5" width="17.85546875" style="9" bestFit="1" customWidth="1"/>
    <col min="6" max="6" width="18.5703125" style="9" bestFit="1" customWidth="1"/>
    <col min="7" max="7" width="9.85546875" style="9" bestFit="1" customWidth="1"/>
    <col min="8" max="8" width="5.5703125" style="9" bestFit="1" customWidth="1"/>
    <col min="9" max="9" width="6" bestFit="1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4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3" t="s">
        <v>5</v>
      </c>
      <c r="G1" s="10" t="s">
        <v>6</v>
      </c>
      <c r="H1" s="10">
        <v>7.0000000000000007E-2</v>
      </c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5">
        <v>1</v>
      </c>
      <c r="B2" s="6" t="s">
        <v>7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25">
      <c r="A3" s="15">
        <v>2</v>
      </c>
      <c r="B3" s="6" t="s">
        <v>8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15">
        <v>3</v>
      </c>
      <c r="B4" s="6" t="s">
        <v>9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15">
        <v>4</v>
      </c>
      <c r="B5" s="6" t="s">
        <v>10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2"/>
      <c r="L5" s="2"/>
    </row>
    <row r="6" spans="1:26" ht="14.25" customHeight="1" x14ac:dyDescent="0.25">
      <c r="A6" s="15">
        <v>5</v>
      </c>
      <c r="B6" s="6" t="s">
        <v>11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15">
        <v>6</v>
      </c>
      <c r="B7" s="6" t="s">
        <v>12</v>
      </c>
      <c r="C7" s="7">
        <v>17</v>
      </c>
      <c r="D7" s="5">
        <v>234</v>
      </c>
      <c r="E7" s="8">
        <f t="shared" si="0"/>
        <v>3978</v>
      </c>
      <c r="F7" s="8">
        <f t="shared" si="1"/>
        <v>278.46000000000004</v>
      </c>
      <c r="K7" s="3"/>
    </row>
    <row r="8" spans="1:26" ht="14.25" customHeight="1" x14ac:dyDescent="0.25">
      <c r="A8" s="15">
        <v>7</v>
      </c>
      <c r="B8" s="6" t="s">
        <v>13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3"/>
    </row>
    <row r="9" spans="1:26" ht="14.25" customHeight="1" x14ac:dyDescent="0.25">
      <c r="A9" s="15">
        <v>8</v>
      </c>
      <c r="B9" s="6" t="s">
        <v>14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3"/>
    </row>
    <row r="10" spans="1:26" ht="14.25" customHeight="1" x14ac:dyDescent="0.25">
      <c r="A10" s="15">
        <v>9</v>
      </c>
      <c r="B10" s="6" t="s">
        <v>15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3"/>
    </row>
    <row r="11" spans="1:26" ht="14.25" customHeight="1" x14ac:dyDescent="0.25">
      <c r="A11" s="15">
        <v>10</v>
      </c>
      <c r="B11" s="6" t="s">
        <v>16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15">
        <v>11</v>
      </c>
      <c r="B12" s="6" t="s">
        <v>17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15">
        <v>12</v>
      </c>
      <c r="B13" s="6" t="s">
        <v>18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15">
        <v>13</v>
      </c>
      <c r="B14" s="6" t="s">
        <v>19</v>
      </c>
      <c r="C14" s="7">
        <v>22.5</v>
      </c>
      <c r="D14" s="5">
        <v>129</v>
      </c>
      <c r="E14" s="8">
        <f t="shared" si="0"/>
        <v>2902.5</v>
      </c>
      <c r="F14" s="8">
        <f t="shared" si="1"/>
        <v>203.17500000000001</v>
      </c>
    </row>
    <row r="15" spans="1:26" ht="14.25" customHeight="1" x14ac:dyDescent="0.25">
      <c r="A15" s="15">
        <v>14</v>
      </c>
      <c r="B15" s="6" t="s">
        <v>20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15">
        <v>15</v>
      </c>
      <c r="B16" s="6" t="s">
        <v>21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15">
        <v>16</v>
      </c>
      <c r="B17" s="6" t="s">
        <v>22</v>
      </c>
      <c r="C17" s="7">
        <v>15.65</v>
      </c>
      <c r="D17" s="5">
        <v>132</v>
      </c>
      <c r="E17" s="8">
        <f t="shared" si="0"/>
        <v>2065.8000000000002</v>
      </c>
      <c r="F17" s="8">
        <f t="shared" si="1"/>
        <v>144.60600000000002</v>
      </c>
    </row>
    <row r="18" spans="1:6" ht="14.25" customHeight="1" x14ac:dyDescent="0.25">
      <c r="A18" s="15">
        <v>17</v>
      </c>
      <c r="B18" s="6" t="s">
        <v>23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15">
        <v>18</v>
      </c>
      <c r="B19" s="6" t="s">
        <v>24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15">
        <v>19</v>
      </c>
      <c r="B20" s="6" t="s">
        <v>25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15">
        <v>20</v>
      </c>
      <c r="B21" s="6" t="s">
        <v>26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15">
        <v>21</v>
      </c>
      <c r="B22" s="6" t="s">
        <v>27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15">
        <v>22</v>
      </c>
      <c r="B23" s="6" t="s">
        <v>28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15">
        <v>23</v>
      </c>
      <c r="B24" s="6" t="s">
        <v>29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15">
        <v>24</v>
      </c>
      <c r="B25" s="6" t="s">
        <v>30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15">
        <v>25</v>
      </c>
      <c r="B26" s="6" t="s">
        <v>31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15">
        <v>26</v>
      </c>
      <c r="B27" s="6" t="s">
        <v>28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15">
        <v>27</v>
      </c>
      <c r="B28" s="6" t="s">
        <v>32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15">
        <v>28</v>
      </c>
      <c r="B29" s="6" t="s">
        <v>33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15">
        <v>29</v>
      </c>
      <c r="B30" s="6" t="s">
        <v>34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15">
        <v>30</v>
      </c>
      <c r="B31" s="6" t="s">
        <v>35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15">
        <v>31</v>
      </c>
      <c r="B32" s="6" t="s">
        <v>36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15">
        <v>32</v>
      </c>
      <c r="B33" s="6" t="s">
        <v>37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15">
        <v>33</v>
      </c>
      <c r="B34" s="6" t="s">
        <v>38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15">
        <v>34</v>
      </c>
      <c r="B35" s="6" t="s">
        <v>39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15">
        <v>35</v>
      </c>
      <c r="B36" s="6" t="s">
        <v>40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15">
        <v>36</v>
      </c>
      <c r="B37" s="6" t="s">
        <v>41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15">
        <v>37</v>
      </c>
      <c r="B38" s="6" t="s">
        <v>42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15">
        <v>38</v>
      </c>
      <c r="B39" s="6" t="s">
        <v>43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15">
        <v>39</v>
      </c>
      <c r="B40" s="6" t="s">
        <v>44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15">
        <v>40</v>
      </c>
      <c r="B41" s="6" t="s">
        <v>45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15">
        <v>41</v>
      </c>
      <c r="B42" s="6" t="s">
        <v>46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15">
        <v>42</v>
      </c>
      <c r="B43" s="6" t="s">
        <v>47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15">
        <v>43</v>
      </c>
      <c r="B44" s="6" t="s">
        <v>48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15">
        <v>44</v>
      </c>
      <c r="B45" s="6" t="s">
        <v>49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15">
        <v>45</v>
      </c>
      <c r="B46" s="6" t="s">
        <v>50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15">
        <v>46</v>
      </c>
      <c r="B47" s="6" t="s">
        <v>51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15">
        <v>47</v>
      </c>
      <c r="B48" s="6" t="s">
        <v>52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15">
        <v>48</v>
      </c>
      <c r="B49" s="6" t="s">
        <v>53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15">
        <v>49</v>
      </c>
      <c r="B50" s="6" t="s">
        <v>54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15">
        <v>50</v>
      </c>
      <c r="B51" s="6" t="s">
        <v>55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15">
        <v>51</v>
      </c>
      <c r="B52" s="6" t="s">
        <v>56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15">
        <v>52</v>
      </c>
      <c r="B53" s="6" t="s">
        <v>57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15">
        <v>53</v>
      </c>
      <c r="B54" s="6" t="s">
        <v>58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15">
        <v>54</v>
      </c>
      <c r="B55" s="6" t="s">
        <v>59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15">
        <v>55</v>
      </c>
      <c r="B56" s="6" t="s">
        <v>60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15">
        <v>56</v>
      </c>
      <c r="B57" s="6" t="s">
        <v>61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15">
        <v>57</v>
      </c>
      <c r="B58" s="6" t="s">
        <v>62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15">
        <v>58</v>
      </c>
      <c r="B59" s="6" t="s">
        <v>63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15">
        <v>59</v>
      </c>
      <c r="B60" s="6" t="s">
        <v>64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15">
        <v>60</v>
      </c>
      <c r="B61" s="6" t="s">
        <v>65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15">
        <v>61</v>
      </c>
      <c r="B62" s="6" t="s">
        <v>66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15">
        <v>62</v>
      </c>
      <c r="B63" s="6" t="s">
        <v>67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15">
        <v>63</v>
      </c>
      <c r="B64" s="6" t="s">
        <v>68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15">
        <v>64</v>
      </c>
      <c r="B65" s="6" t="s">
        <v>69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15">
        <v>65</v>
      </c>
      <c r="B66" s="6" t="s">
        <v>70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15">
        <v>66</v>
      </c>
      <c r="B67" s="6" t="s">
        <v>71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25">
      <c r="A68" s="15">
        <v>67</v>
      </c>
      <c r="B68" s="6" t="s">
        <v>72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15">
        <v>68</v>
      </c>
      <c r="B69" s="6" t="s">
        <v>73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15">
        <v>69</v>
      </c>
      <c r="B70" s="6" t="s">
        <v>74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15">
        <v>70</v>
      </c>
      <c r="B71" s="6" t="s">
        <v>75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4" t="s">
        <v>76</v>
      </c>
      <c r="D72" s="5">
        <f t="shared" ref="D72:E72" si="2">SUM(D2:D71)</f>
        <v>9427</v>
      </c>
      <c r="E72" s="8">
        <f t="shared" si="2"/>
        <v>145023.04999999999</v>
      </c>
      <c r="F72" s="8">
        <f>SUM(TaxesOwed)</f>
        <v>10151.613500000003</v>
      </c>
    </row>
    <row r="73" spans="1:6" ht="14.25" customHeight="1" x14ac:dyDescent="0.25">
      <c r="B73" s="6"/>
      <c r="C73" s="4" t="s">
        <v>77</v>
      </c>
      <c r="D73" s="5">
        <f t="shared" ref="D73:E73" si="3">AVERAGE(D2:D71)</f>
        <v>134.67142857142858</v>
      </c>
      <c r="E73" s="8">
        <f t="shared" si="3"/>
        <v>2071.7578571428571</v>
      </c>
      <c r="F73" s="8">
        <f>AVERAGE(TaxesOwed)</f>
        <v>145.02305000000004</v>
      </c>
    </row>
    <row r="74" spans="1:6" ht="14.25" customHeight="1" x14ac:dyDescent="0.25">
      <c r="B74" s="6"/>
      <c r="C74" s="4" t="s">
        <v>78</v>
      </c>
      <c r="D74" s="5">
        <f t="shared" ref="D74:F74" si="4">MAX(D2:D71)</f>
        <v>234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25">
      <c r="B75" s="6"/>
      <c r="C75" s="4" t="s">
        <v>79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25">
      <c r="B76" s="6"/>
      <c r="C76" s="4" t="s">
        <v>80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Topbee</cp:lastModifiedBy>
  <dcterms:created xsi:type="dcterms:W3CDTF">2022-07-03T02:12:21Z</dcterms:created>
  <dcterms:modified xsi:type="dcterms:W3CDTF">2026-02-21T16:15:14Z</dcterms:modified>
</cp:coreProperties>
</file>